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D:\working\waccache\BN3PEPF00001EB3\EXCELCNV\e898315e-d6fe-4d6a-9b2a-36efd5300fce\"/>
    </mc:Choice>
  </mc:AlternateContent>
  <xr:revisionPtr revIDLastSave="0" documentId="8_{B3CF3EBC-390B-421A-9E50-A70CC02BC025}" xr6:coauthVersionLast="47" xr6:coauthVersionMax="47" xr10:uidLastSave="{00000000-0000-0000-0000-000000000000}"/>
  <bookViews>
    <workbookView xWindow="-60" yWindow="-60" windowWidth="15480" windowHeight="11640" firstSheet="2" activeTab="2" xr2:uid="{00000000-000D-0000-FFFF-FFFF00000000}"/>
  </bookViews>
  <sheets>
    <sheet name="Datos_Usuario" sheetId="1" r:id="rId1"/>
    <sheet name="Bancos" sheetId="2" r:id="rId2"/>
    <sheet name="Simulación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3" l="1"/>
  <c r="B7" i="3"/>
  <c r="B3" i="3"/>
  <c r="B4" i="3"/>
  <c r="B5" i="3"/>
  <c r="B2" i="3"/>
  <c r="E7" i="3"/>
  <c r="C7" i="3"/>
  <c r="D7" i="3"/>
  <c r="F7" i="3" s="1"/>
  <c r="A7" i="3"/>
  <c r="E6" i="3"/>
  <c r="C6" i="3"/>
  <c r="D6" i="3"/>
  <c r="F6" i="3" s="1"/>
  <c r="A6" i="3"/>
  <c r="E5" i="3"/>
  <c r="C5" i="3"/>
  <c r="D5" i="3"/>
  <c r="F5" i="3" s="1"/>
  <c r="A5" i="3"/>
  <c r="E4" i="3"/>
  <c r="C4" i="3"/>
  <c r="D4" i="3"/>
  <c r="F4" i="3" s="1"/>
  <c r="A4" i="3"/>
  <c r="E3" i="3"/>
  <c r="C3" i="3"/>
  <c r="D3" i="3"/>
  <c r="F3" i="3" s="1"/>
  <c r="A3" i="3"/>
  <c r="E2" i="3"/>
  <c r="C2" i="3"/>
  <c r="D2" i="3"/>
  <c r="F2" i="3" s="1"/>
  <c r="A2" i="3"/>
  <c r="B6" i="1"/>
</calcChain>
</file>

<file path=xl/sharedStrings.xml><?xml version="1.0" encoding="utf-8"?>
<sst xmlns="http://schemas.openxmlformats.org/spreadsheetml/2006/main" count="23" uniqueCount="22">
  <si>
    <t>SIMULADOR DE PRÉSTAMOS – EL SALVADOR</t>
  </si>
  <si>
    <t>Monto del préstamo ($)</t>
  </si>
  <si>
    <t>Plazo (meses)</t>
  </si>
  <si>
    <t>Ingreso mensual ($)</t>
  </si>
  <si>
    <t>% máximo recomendado de cuota</t>
  </si>
  <si>
    <t>Cuota máxima recomendada ($)</t>
  </si>
  <si>
    <t>Banco</t>
  </si>
  <si>
    <t>Tasa Anual (%)</t>
  </si>
  <si>
    <t>Comisión Apertura (%)</t>
  </si>
  <si>
    <t>Seguro Mensual (%)</t>
  </si>
  <si>
    <t>Banco Agrícola</t>
  </si>
  <si>
    <t>BAC Credomatic</t>
  </si>
  <si>
    <t>Banco Cuscatlán</t>
  </si>
  <si>
    <t>Davivienda</t>
  </si>
  <si>
    <t>Banco Hipotecario</t>
  </si>
  <si>
    <t>Banco Azul</t>
  </si>
  <si>
    <t>Cuota Base</t>
  </si>
  <si>
    <t>Seguro Mensual</t>
  </si>
  <si>
    <t>Cuota Total</t>
  </si>
  <si>
    <t>Comisión</t>
  </si>
  <si>
    <t>Costo Total</t>
  </si>
  <si>
    <t>Evaluación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</si>
</sst>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BDD7EE"/>
      </patternFill>
    </fill>
    <fill>
      <patternFill patternType="solid">
        <fgColor rgb="FFC6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2" fillId="3" borderId="0" xfId="0" applyFont="1" applyFill="1"/>
    <xf numFmtId="0" fontId="2" fillId="4" borderId="0" xfId="0" applyFont="1" applyFill="1"/>
    <xf numFmtId="0" fontId="1" fillId="2" borderId="0" xfId="0" applyFont="1" applyFill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sqref="A1:B1"/>
    </sheetView>
  </sheetViews>
  <sheetFormatPr defaultColWidth="9.140625" defaultRowHeight="15"/>
  <cols>
    <col min="1" max="1" width="35" customWidth="1"/>
    <col min="2" max="2" width="20" customWidth="1"/>
  </cols>
  <sheetData>
    <row r="1" spans="1:2" ht="18.75">
      <c r="A1" s="4" t="s">
        <v>0</v>
      </c>
      <c r="B1" s="5"/>
    </row>
    <row r="2" spans="1:2">
      <c r="A2" s="1" t="s">
        <v>1</v>
      </c>
      <c r="B2">
        <v>10000</v>
      </c>
    </row>
    <row r="3" spans="1:2">
      <c r="A3" s="1" t="s">
        <v>2</v>
      </c>
      <c r="B3">
        <v>36</v>
      </c>
    </row>
    <row r="4" spans="1:2">
      <c r="A4" s="1" t="s">
        <v>3</v>
      </c>
      <c r="B4">
        <v>800</v>
      </c>
    </row>
    <row r="5" spans="1:2">
      <c r="A5" s="1" t="s">
        <v>4</v>
      </c>
      <c r="B5">
        <v>0.3</v>
      </c>
    </row>
    <row r="6" spans="1:2">
      <c r="A6" s="1" t="s">
        <v>5</v>
      </c>
      <c r="B6">
        <f>B3*B4</f>
        <v>28800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/>
  </sheetViews>
  <sheetFormatPr defaultColWidth="9.140625" defaultRowHeight="15"/>
  <cols>
    <col min="1" max="4" width="25" customWidth="1"/>
  </cols>
  <sheetData>
    <row r="1" spans="1:4">
      <c r="A1" s="2" t="s">
        <v>6</v>
      </c>
      <c r="B1" s="2" t="s">
        <v>7</v>
      </c>
      <c r="C1" s="2" t="s">
        <v>8</v>
      </c>
      <c r="D1" s="2" t="s">
        <v>9</v>
      </c>
    </row>
    <row r="2" spans="1:4">
      <c r="A2" t="s">
        <v>10</v>
      </c>
      <c r="B2">
        <v>15.5</v>
      </c>
      <c r="C2">
        <v>2</v>
      </c>
      <c r="D2">
        <v>0.4</v>
      </c>
    </row>
    <row r="3" spans="1:4">
      <c r="A3" t="s">
        <v>11</v>
      </c>
      <c r="B3">
        <v>17</v>
      </c>
      <c r="C3">
        <v>1.5</v>
      </c>
      <c r="D3">
        <v>0.5</v>
      </c>
    </row>
    <row r="4" spans="1:4">
      <c r="A4" t="s">
        <v>12</v>
      </c>
      <c r="B4">
        <v>16</v>
      </c>
      <c r="C4">
        <v>1</v>
      </c>
      <c r="D4">
        <v>0.45</v>
      </c>
    </row>
    <row r="5" spans="1:4">
      <c r="A5" t="s">
        <v>13</v>
      </c>
      <c r="B5">
        <v>16.5</v>
      </c>
      <c r="C5">
        <v>1.2</v>
      </c>
      <c r="D5">
        <v>0.5</v>
      </c>
    </row>
    <row r="6" spans="1:4">
      <c r="A6" t="s">
        <v>14</v>
      </c>
      <c r="B6">
        <v>14.5</v>
      </c>
      <c r="C6">
        <v>1</v>
      </c>
      <c r="D6">
        <v>0.35</v>
      </c>
    </row>
    <row r="7" spans="1:4">
      <c r="A7" t="s">
        <v>15</v>
      </c>
      <c r="B7">
        <v>18</v>
      </c>
      <c r="C7">
        <v>1.3</v>
      </c>
      <c r="D7">
        <v>0.55000000000000004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"/>
  <sheetViews>
    <sheetView tabSelected="1" workbookViewId="0">
      <selection activeCell="B5" sqref="B5:B7"/>
    </sheetView>
  </sheetViews>
  <sheetFormatPr defaultColWidth="9.140625" defaultRowHeight="15"/>
  <cols>
    <col min="1" max="7" width="22" customWidth="1"/>
  </cols>
  <sheetData>
    <row r="1" spans="1:7">
      <c r="A1" s="3" t="s">
        <v>6</v>
      </c>
      <c r="B1" s="3" t="s">
        <v>16</v>
      </c>
      <c r="C1" s="3" t="s">
        <v>17</v>
      </c>
      <c r="D1" s="3" t="s">
        <v>18</v>
      </c>
      <c r="E1" s="3" t="s">
        <v>19</v>
      </c>
      <c r="F1" s="3" t="s">
        <v>20</v>
      </c>
      <c r="G1" s="3" t="s">
        <v>21</v>
      </c>
    </row>
    <row r="2" spans="1:7">
      <c r="A2" t="str">
        <f>Bancos!A2</f>
        <v>Banco Agrícola</v>
      </c>
      <c r="B2">
        <f>-_xlfn.SINGLE(PMT(Bancos!B2/100/12,Datos_Usuario!B3,Datos_Usuario!B2))</f>
        <v>349.10681021795432</v>
      </c>
      <c r="C2">
        <f>Datos_Usuario!B2*Bancos!D2/100</f>
        <v>40</v>
      </c>
      <c r="D2">
        <f t="shared" ref="D2:D7" si="0">B2+C2</f>
        <v>389.10681021795432</v>
      </c>
      <c r="E2">
        <f>Datos_Usuario!B2*Bancos!C2/100</f>
        <v>200</v>
      </c>
      <c r="F2">
        <f>(D2*Datos_Usuario!B3)+E2</f>
        <v>14207.845167846355</v>
      </c>
    </row>
    <row r="3" spans="1:7">
      <c r="A3" t="str">
        <f>Bancos!A3</f>
        <v>BAC Credomatic</v>
      </c>
      <c r="B3">
        <f>-_xlfn.SINGLE(PMT(Bancos!B3/100/12,Datos_Usuario!B4,Datos_Usuario!B3))</f>
        <v>0.5100066086090036</v>
      </c>
      <c r="C3">
        <f>Datos_Usuario!B2*Bancos!D3/100</f>
        <v>50</v>
      </c>
      <c r="D3">
        <f t="shared" si="0"/>
        <v>50.510006608609004</v>
      </c>
      <c r="E3">
        <f>Datos_Usuario!B2*Bancos!C3/100</f>
        <v>150</v>
      </c>
      <c r="F3">
        <f>(D3*Datos_Usuario!B3)+E3</f>
        <v>1968.3602379099241</v>
      </c>
    </row>
    <row r="4" spans="1:7">
      <c r="A4" t="str">
        <f>Bancos!A4</f>
        <v>Banco Cuscatlán</v>
      </c>
      <c r="B4">
        <f>-_xlfn.SINGLE(PMT(Bancos!B4/100/12,Datos_Usuario!B5,Datos_Usuario!B4))</f>
        <v>2689.7420648357679</v>
      </c>
      <c r="C4">
        <f>Datos_Usuario!B2*Bancos!D4/100</f>
        <v>45</v>
      </c>
      <c r="D4">
        <f t="shared" si="0"/>
        <v>2734.7420648357679</v>
      </c>
      <c r="E4">
        <f>Datos_Usuario!B2*Bancos!C4/100</f>
        <v>100</v>
      </c>
      <c r="F4">
        <f>(D4*Datos_Usuario!B3)+E4</f>
        <v>98550.71433408765</v>
      </c>
    </row>
    <row r="5" spans="1:7">
      <c r="A5" t="str">
        <f>Bancos!A5</f>
        <v>Davivienda</v>
      </c>
      <c r="B5">
        <f>-_xlfn.SINGLE(PMT(Bancos!B5/100/12,Datos_Usuario!B6,Datos_Usuario!B5))</f>
        <v>4.1250000000000002E-3</v>
      </c>
      <c r="C5">
        <f>Datos_Usuario!B2*Bancos!D5/100</f>
        <v>50</v>
      </c>
      <c r="D5">
        <f t="shared" si="0"/>
        <v>50.004125000000002</v>
      </c>
      <c r="E5">
        <f>Datos_Usuario!B2*Bancos!C5/100</f>
        <v>120</v>
      </c>
      <c r="F5">
        <f>(D5*Datos_Usuario!B3)+E5</f>
        <v>1920.1485</v>
      </c>
    </row>
    <row r="6" spans="1:7">
      <c r="A6" t="str">
        <f>Bancos!A6</f>
        <v>Banco Hipotecario</v>
      </c>
      <c r="B6" t="e">
        <f>-_xlfn.SINGLE(PMT(Bancos!B6/100/12,Datos_Usuario!B7,Datos_Usuario!B6))</f>
        <v>#NUM!</v>
      </c>
      <c r="C6">
        <f>Datos_Usuario!B2*Bancos!D6/100</f>
        <v>35</v>
      </c>
      <c r="D6" t="e">
        <f t="shared" si="0"/>
        <v>#NUM!</v>
      </c>
      <c r="E6">
        <f>Datos_Usuario!B2*Bancos!C6/100</f>
        <v>100</v>
      </c>
      <c r="F6" t="e">
        <f>(D6*Datos_Usuario!B3)+E6</f>
        <v>#NUM!</v>
      </c>
    </row>
    <row r="7" spans="1:7">
      <c r="A7" t="str">
        <f>Bancos!A7</f>
        <v>Banco Azul</v>
      </c>
      <c r="B7" t="e">
        <f>-_xlfn.SINGLE(PMT(Bancos!B7/100/12,Datos_Usuario!B8,Datos_Usuario!B7))</f>
        <v>#NUM!</v>
      </c>
      <c r="C7">
        <f>Datos_Usuario!B2*Bancos!D7/100</f>
        <v>55</v>
      </c>
      <c r="D7" t="e">
        <f t="shared" si="0"/>
        <v>#NUM!</v>
      </c>
      <c r="E7">
        <f>Datos_Usuario!B2*Bancos!C7/100</f>
        <v>130</v>
      </c>
      <c r="F7" t="e">
        <f>(D7*Datos_Usuario!B3)+E7</f>
        <v>#NUM!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2026-04-29T03:56:52Z</dcterms:created>
  <dcterms:modified xsi:type="dcterms:W3CDTF">2026-04-29T04:54:00Z</dcterms:modified>
  <cp:category/>
  <cp:contentStatus/>
</cp:coreProperties>
</file>