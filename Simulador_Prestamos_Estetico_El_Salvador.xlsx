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millicom-my.sharepoint.com/personal/mjrodriguez_sv_tigo_com/Documents/Escritorio/SIMULADOR PRESTAMOS SV/"/>
    </mc:Choice>
  </mc:AlternateContent>
  <xr:revisionPtr revIDLastSave="69" documentId="8_{B3CF3EBC-390B-421A-9E50-A70CC02BC025}" xr6:coauthVersionLast="47" xr6:coauthVersionMax="47" xr10:uidLastSave="{F50BC61C-501D-41EC-B20E-0CA2149EAB82}"/>
  <bookViews>
    <workbookView xWindow="-120" yWindow="-120" windowWidth="20730" windowHeight="11040" activeTab="1" xr2:uid="{00000000-000D-0000-FFFF-FFFF00000000}"/>
  </bookViews>
  <sheets>
    <sheet name="Datos_Usuario" sheetId="1" r:id="rId1"/>
    <sheet name="Bancos" sheetId="2" r:id="rId2"/>
    <sheet name="Simulació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5" i="3"/>
  <c r="C3" i="3"/>
  <c r="C4" i="3"/>
  <c r="C5" i="3"/>
  <c r="C6" i="3"/>
  <c r="C7" i="3"/>
  <c r="C8" i="3"/>
  <c r="D8" i="3" s="1"/>
  <c r="C9" i="3"/>
  <c r="D9" i="3" s="1"/>
  <c r="C10" i="3"/>
  <c r="D10" i="3" s="1"/>
  <c r="C11" i="3"/>
  <c r="C12" i="3"/>
  <c r="C13" i="3"/>
  <c r="C14" i="3"/>
  <c r="C15" i="3"/>
  <c r="C16" i="3"/>
  <c r="C17" i="3"/>
  <c r="D17" i="3" s="1"/>
  <c r="C18" i="3"/>
  <c r="D18" i="3" s="1"/>
  <c r="C19" i="3"/>
  <c r="C20" i="3"/>
  <c r="C21" i="3"/>
  <c r="C22" i="3"/>
  <c r="C23" i="3"/>
  <c r="C24" i="3"/>
  <c r="C25" i="3"/>
  <c r="D25" i="3" s="1"/>
  <c r="C2" i="3"/>
  <c r="D11" i="3"/>
  <c r="D12" i="3"/>
  <c r="D13" i="3"/>
  <c r="D14" i="3"/>
  <c r="D15" i="3"/>
  <c r="D19" i="3"/>
  <c r="D20" i="3"/>
  <c r="D21" i="3"/>
  <c r="D22" i="3"/>
  <c r="D23" i="3"/>
  <c r="D24" i="3"/>
  <c r="B25" i="3"/>
  <c r="B6" i="3"/>
  <c r="B7" i="3"/>
  <c r="B8" i="3"/>
  <c r="B9" i="3"/>
  <c r="B10" i="3"/>
  <c r="B11" i="3"/>
  <c r="B12" i="3"/>
  <c r="B13" i="3"/>
  <c r="B14" i="3"/>
  <c r="B15" i="3"/>
  <c r="B16" i="3"/>
  <c r="D16" i="3" s="1"/>
  <c r="B17" i="3"/>
  <c r="B18" i="3"/>
  <c r="B19" i="3"/>
  <c r="B20" i="3"/>
  <c r="B21" i="3"/>
  <c r="B22" i="3"/>
  <c r="B23" i="3"/>
  <c r="B24" i="3"/>
  <c r="B3" i="3"/>
  <c r="B4" i="3"/>
  <c r="B5" i="3"/>
  <c r="B2" i="3"/>
  <c r="D2" i="3" s="1"/>
  <c r="F2" i="3" s="1"/>
  <c r="B6" i="1"/>
  <c r="A25" i="3"/>
  <c r="A24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D7" i="3"/>
  <c r="A7" i="3"/>
  <c r="A6" i="3"/>
  <c r="A5" i="3"/>
  <c r="E4" i="3"/>
  <c r="A4" i="3"/>
  <c r="E3" i="3"/>
  <c r="A3" i="3"/>
  <c r="E2" i="3"/>
  <c r="A2" i="3"/>
  <c r="F25" i="3" l="1"/>
  <c r="F19" i="3"/>
  <c r="F10" i="3"/>
  <c r="F17" i="3"/>
  <c r="F6" i="3"/>
  <c r="F18" i="3"/>
  <c r="F9" i="3"/>
  <c r="F15" i="3"/>
  <c r="F23" i="3"/>
  <c r="F14" i="3"/>
  <c r="F5" i="3"/>
  <c r="F24" i="3"/>
  <c r="F22" i="3"/>
  <c r="F13" i="3"/>
  <c r="F4" i="3"/>
  <c r="F7" i="3"/>
  <c r="F21" i="3"/>
  <c r="F12" i="3"/>
  <c r="F3" i="3"/>
  <c r="F8" i="3"/>
  <c r="F16" i="3"/>
  <c r="F20" i="3"/>
  <c r="F11" i="3"/>
  <c r="D5" i="3"/>
  <c r="D4" i="3"/>
  <c r="D3" i="3"/>
  <c r="D6" i="3"/>
</calcChain>
</file>

<file path=xl/sharedStrings.xml><?xml version="1.0" encoding="utf-8"?>
<sst xmlns="http://schemas.openxmlformats.org/spreadsheetml/2006/main" count="41" uniqueCount="40">
  <si>
    <t>SIMULADOR DE PRÉSTAMOS – EL SALVADOR</t>
  </si>
  <si>
    <t>Monto del préstamo ($)</t>
  </si>
  <si>
    <t>Plazo (meses)</t>
  </si>
  <si>
    <t>Ingreso mensual ($)</t>
  </si>
  <si>
    <t>% máximo recomendado de cuota</t>
  </si>
  <si>
    <t>Cuota máxima recomendada ($)</t>
  </si>
  <si>
    <t>Banco</t>
  </si>
  <si>
    <t>Tasa Anual (%)</t>
  </si>
  <si>
    <t>Comisión Apertura (%)</t>
  </si>
  <si>
    <t>Seguro Mensual (%)</t>
  </si>
  <si>
    <t>Banco Agrícola</t>
  </si>
  <si>
    <t>BAC Credomatic</t>
  </si>
  <si>
    <t>Banco Cuscatlán</t>
  </si>
  <si>
    <t>Davivienda</t>
  </si>
  <si>
    <t>Banco Hipotecario</t>
  </si>
  <si>
    <t>Banco Azul</t>
  </si>
  <si>
    <t>Evaluación</t>
  </si>
  <si>
    <t>Banco Promerica</t>
  </si>
  <si>
    <t>Banco G&amp;T Continental</t>
  </si>
  <si>
    <t>Banco Abank</t>
  </si>
  <si>
    <t>Banco Atlántida SV</t>
  </si>
  <si>
    <t>Banco Integral</t>
  </si>
  <si>
    <t>Banco Multivalores</t>
  </si>
  <si>
    <t>Financiera Credicomer</t>
  </si>
  <si>
    <t>Financiera Fiducia</t>
  </si>
  <si>
    <t>FEDECACES</t>
  </si>
  <si>
    <t>CACEP</t>
  </si>
  <si>
    <t>ACODJAR</t>
  </si>
  <si>
    <t>COOPAS</t>
  </si>
  <si>
    <t>CREDESAN</t>
  </si>
  <si>
    <t>Caja de Crédito Zacatecoluca</t>
  </si>
  <si>
    <t>Caja de Crédito San Miguel</t>
  </si>
  <si>
    <t>Caja de Crédito Metapán</t>
  </si>
  <si>
    <t>AMC</t>
  </si>
  <si>
    <t>FUNDAMICRO</t>
  </si>
  <si>
    <t>Cuota Base $</t>
  </si>
  <si>
    <t>Seguro Mensual $</t>
  </si>
  <si>
    <t>Cuota Total $</t>
  </si>
  <si>
    <t>Comisión $</t>
  </si>
  <si>
    <t>Costo Total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</si>
</sst>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3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2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7" borderId="1" xfId="0" applyFont="1" applyFill="1" applyBorder="1"/>
    <xf numFmtId="0" fontId="0" fillId="8" borderId="1" xfId="1" applyNumberFormat="1" applyFont="1" applyFill="1" applyBorder="1"/>
    <xf numFmtId="0" fontId="0" fillId="8" borderId="1" xfId="0" applyFill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2">
    <cellStyle name="Moneda" xfId="1" builtinId="4"/>
    <cellStyle name="Normal" xfId="0" builtinId="0"/>
  </cellStyles>
  <dxfs count="11">
    <dxf>
      <numFmt numFmtId="4" formatCode="#,##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C6E0B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0ABFE9-80C2-4A58-8BC4-BBCA16057D04}" name="Tabla1" displayName="Tabla1" ref="A1:D25" totalsRowShown="0" headerRowDxfId="10" dataDxfId="9">
  <autoFilter ref="A1:D25" xr:uid="{080ABFE9-80C2-4A58-8BC4-BBCA16057D04}"/>
  <tableColumns count="4">
    <tableColumn id="1" xr3:uid="{AA2A3659-7672-4F99-885E-610FAC14686C}" name="Banco" dataDxfId="8"/>
    <tableColumn id="2" xr3:uid="{C4781AEF-B664-4AF5-895A-39D0F39F0B17}" name="Tasa Anual (%)" dataDxfId="7"/>
    <tableColumn id="3" xr3:uid="{8E36FA80-3834-4E12-8186-2824F196B054}" name="Comisión Apertura (%)" dataDxfId="6"/>
    <tableColumn id="4" xr3:uid="{4F8D4ED9-5269-4616-9C6D-A121FCF25265}" name="Seguro Mensual (%)" dataDxfId="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4891E1-080E-4BAC-9BA3-AA23FF7A4EFB}" name="Tabla3" displayName="Tabla3" ref="A1:G25" totalsRowShown="0" headerRowDxfId="4">
  <autoFilter ref="A1:G25" xr:uid="{264891E1-080E-4BAC-9BA3-AA23FF7A4EFB}"/>
  <tableColumns count="7">
    <tableColumn id="1" xr3:uid="{F5BA89DD-0F6B-44A0-995C-9B338E879CC5}" name="Banco">
      <calculatedColumnFormula>Bancos!A2</calculatedColumnFormula>
    </tableColumn>
    <tableColumn id="2" xr3:uid="{86DBCBAC-4201-4193-A97D-A1E2B1CCDF8D}" name="Cuota Base $" dataDxfId="3">
      <calculatedColumnFormula>-PMT(Bancos!B2/100/12,Datos_Usuario!$B$3,Datos_Usuario!$B$2)</calculatedColumnFormula>
    </tableColumn>
    <tableColumn id="3" xr3:uid="{2859AA11-281A-460E-B9E9-B120708B86A6}" name="Seguro Mensual $">
      <calculatedColumnFormula>Datos_Usuario!$B$2*Bancos!D2/100</calculatedColumnFormula>
    </tableColumn>
    <tableColumn id="4" xr3:uid="{35FF3CC9-8643-471C-8783-0366014B943E}" name="Cuota Total $" dataDxfId="2"/>
    <tableColumn id="5" xr3:uid="{64796EF2-7559-4746-9DE2-7E951923F98F}" name="Comisión $" dataDxfId="1"/>
    <tableColumn id="6" xr3:uid="{D6134B07-6059-4D61-B517-A15DC0DE93AB}" name="Costo Total $" dataDxfId="0">
      <calculatedColumnFormula>($D$2*Datos_Usuario!$B$3)+E2</calculatedColumnFormula>
    </tableColumn>
    <tableColumn id="7" xr3:uid="{294D65C5-04E3-49E2-88F6-6F3C4957DEC8}" name="Evalu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35" customWidth="1"/>
    <col min="2" max="2" width="20" customWidth="1"/>
  </cols>
  <sheetData>
    <row r="1" spans="1:2" ht="18.75" x14ac:dyDescent="0.3">
      <c r="A1" s="11" t="s">
        <v>0</v>
      </c>
      <c r="B1" s="12"/>
    </row>
    <row r="2" spans="1:2" x14ac:dyDescent="0.25">
      <c r="A2" s="8" t="s">
        <v>1</v>
      </c>
      <c r="B2" s="9">
        <v>10000</v>
      </c>
    </row>
    <row r="3" spans="1:2" x14ac:dyDescent="0.25">
      <c r="A3" s="8" t="s">
        <v>2</v>
      </c>
      <c r="B3" s="10">
        <v>36</v>
      </c>
    </row>
    <row r="4" spans="1:2" x14ac:dyDescent="0.25">
      <c r="A4" s="8" t="s">
        <v>3</v>
      </c>
      <c r="B4" s="9">
        <v>1500</v>
      </c>
    </row>
    <row r="5" spans="1:2" x14ac:dyDescent="0.25">
      <c r="A5" s="8" t="s">
        <v>4</v>
      </c>
      <c r="B5" s="10">
        <v>0.3</v>
      </c>
    </row>
    <row r="6" spans="1:2" x14ac:dyDescent="0.25">
      <c r="A6" s="8" t="s">
        <v>5</v>
      </c>
      <c r="B6" s="9">
        <f>B5*B4</f>
        <v>450</v>
      </c>
    </row>
    <row r="7" spans="1:2" x14ac:dyDescent="0.25">
      <c r="A7" s="7"/>
      <c r="B7" s="7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"/>
  <sheetViews>
    <sheetView tabSelected="1" workbookViewId="0">
      <selection activeCell="H5" sqref="H5"/>
    </sheetView>
  </sheetViews>
  <sheetFormatPr baseColWidth="10" defaultColWidth="9.140625" defaultRowHeight="15" x14ac:dyDescent="0.25"/>
  <cols>
    <col min="1" max="4" width="25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3" t="s">
        <v>10</v>
      </c>
      <c r="B2" s="3">
        <v>7</v>
      </c>
      <c r="C2" s="3">
        <v>2</v>
      </c>
      <c r="D2" s="3">
        <v>0.4</v>
      </c>
    </row>
    <row r="3" spans="1:4" x14ac:dyDescent="0.25">
      <c r="A3" s="4" t="s">
        <v>11</v>
      </c>
      <c r="B3" s="4">
        <v>17</v>
      </c>
      <c r="C3" s="4">
        <v>1.5</v>
      </c>
      <c r="D3" s="4">
        <v>0.5</v>
      </c>
    </row>
    <row r="4" spans="1:4" x14ac:dyDescent="0.25">
      <c r="A4" s="3" t="s">
        <v>12</v>
      </c>
      <c r="B4" s="3">
        <v>16</v>
      </c>
      <c r="C4" s="3">
        <v>1</v>
      </c>
      <c r="D4" s="3">
        <v>0.45</v>
      </c>
    </row>
    <row r="5" spans="1:4" x14ac:dyDescent="0.25">
      <c r="A5" s="4" t="s">
        <v>13</v>
      </c>
      <c r="B5" s="4">
        <v>16.5</v>
      </c>
      <c r="C5" s="4">
        <v>1.2</v>
      </c>
      <c r="D5" s="4">
        <v>0.5</v>
      </c>
    </row>
    <row r="6" spans="1:4" x14ac:dyDescent="0.25">
      <c r="A6" s="3" t="s">
        <v>14</v>
      </c>
      <c r="B6" s="3">
        <v>15.5</v>
      </c>
      <c r="C6" s="3">
        <v>1.1000000000000001</v>
      </c>
      <c r="D6" s="3">
        <v>0.35</v>
      </c>
    </row>
    <row r="7" spans="1:4" x14ac:dyDescent="0.25">
      <c r="A7" s="4" t="s">
        <v>15</v>
      </c>
      <c r="B7" s="4">
        <v>12.2</v>
      </c>
      <c r="C7" s="4">
        <v>1.3</v>
      </c>
      <c r="D7" s="4">
        <v>0.55000000000000004</v>
      </c>
    </row>
    <row r="8" spans="1:4" x14ac:dyDescent="0.25">
      <c r="A8" s="3" t="s">
        <v>17</v>
      </c>
      <c r="B8" s="3">
        <v>17.8</v>
      </c>
      <c r="C8" s="3">
        <v>1.5</v>
      </c>
      <c r="D8" s="3">
        <v>0.55000000000000004</v>
      </c>
    </row>
    <row r="9" spans="1:4" x14ac:dyDescent="0.25">
      <c r="A9" s="4" t="s">
        <v>18</v>
      </c>
      <c r="B9" s="4">
        <v>18.5</v>
      </c>
      <c r="C9" s="4">
        <v>1.8</v>
      </c>
      <c r="D9" s="4">
        <v>0.6</v>
      </c>
    </row>
    <row r="10" spans="1:4" x14ac:dyDescent="0.25">
      <c r="A10" s="3" t="s">
        <v>19</v>
      </c>
      <c r="B10" s="3">
        <v>19</v>
      </c>
      <c r="C10" s="3">
        <v>2</v>
      </c>
      <c r="D10" s="3">
        <v>0.6</v>
      </c>
    </row>
    <row r="11" spans="1:4" x14ac:dyDescent="0.25">
      <c r="A11" s="4" t="s">
        <v>20</v>
      </c>
      <c r="B11" s="4">
        <v>18.2</v>
      </c>
      <c r="C11" s="4">
        <v>1.7</v>
      </c>
      <c r="D11" s="4">
        <v>0.55000000000000004</v>
      </c>
    </row>
    <row r="12" spans="1:4" x14ac:dyDescent="0.25">
      <c r="A12" s="3" t="s">
        <v>21</v>
      </c>
      <c r="B12" s="3">
        <v>20.5</v>
      </c>
      <c r="C12" s="3">
        <v>2.5</v>
      </c>
      <c r="D12" s="3">
        <v>0.65</v>
      </c>
    </row>
    <row r="13" spans="1:4" x14ac:dyDescent="0.25">
      <c r="A13" s="4" t="s">
        <v>22</v>
      </c>
      <c r="B13" s="4">
        <v>19.8</v>
      </c>
      <c r="C13" s="4">
        <v>2.2000000000000002</v>
      </c>
      <c r="D13" s="4">
        <v>0.6</v>
      </c>
    </row>
    <row r="14" spans="1:4" x14ac:dyDescent="0.25">
      <c r="A14" s="3" t="s">
        <v>23</v>
      </c>
      <c r="B14" s="3">
        <v>21</v>
      </c>
      <c r="C14" s="3">
        <v>2.5</v>
      </c>
      <c r="D14" s="3">
        <v>0.7</v>
      </c>
    </row>
    <row r="15" spans="1:4" x14ac:dyDescent="0.25">
      <c r="A15" s="4" t="s">
        <v>24</v>
      </c>
      <c r="B15" s="4">
        <v>22.5</v>
      </c>
      <c r="C15" s="4">
        <v>3</v>
      </c>
      <c r="D15" s="4">
        <v>0.75</v>
      </c>
    </row>
    <row r="16" spans="1:4" x14ac:dyDescent="0.25">
      <c r="A16" s="3" t="s">
        <v>25</v>
      </c>
      <c r="B16" s="3">
        <v>18.5</v>
      </c>
      <c r="C16" s="3">
        <v>1.2</v>
      </c>
      <c r="D16" s="3">
        <v>0.3</v>
      </c>
    </row>
    <row r="17" spans="1:4" x14ac:dyDescent="0.25">
      <c r="A17" s="4" t="s">
        <v>26</v>
      </c>
      <c r="B17" s="4">
        <v>14.8</v>
      </c>
      <c r="C17" s="4">
        <v>1.2</v>
      </c>
      <c r="D17" s="4">
        <v>0.35</v>
      </c>
    </row>
    <row r="18" spans="1:4" x14ac:dyDescent="0.25">
      <c r="A18" s="3" t="s">
        <v>27</v>
      </c>
      <c r="B18" s="3">
        <v>15.2</v>
      </c>
      <c r="C18" s="3">
        <v>1</v>
      </c>
      <c r="D18" s="3">
        <v>0.4</v>
      </c>
    </row>
    <row r="19" spans="1:4" x14ac:dyDescent="0.25">
      <c r="A19" s="4" t="s">
        <v>28</v>
      </c>
      <c r="B19" s="4">
        <v>15.9</v>
      </c>
      <c r="C19" s="4">
        <v>1.5</v>
      </c>
      <c r="D19" s="4">
        <v>0.45</v>
      </c>
    </row>
    <row r="20" spans="1:4" x14ac:dyDescent="0.25">
      <c r="A20" s="3" t="s">
        <v>29</v>
      </c>
      <c r="B20" s="3">
        <v>16.3</v>
      </c>
      <c r="C20" s="3">
        <v>1.5</v>
      </c>
      <c r="D20" s="3">
        <v>0.45</v>
      </c>
    </row>
    <row r="21" spans="1:4" x14ac:dyDescent="0.25">
      <c r="A21" s="4" t="s">
        <v>30</v>
      </c>
      <c r="B21" s="4">
        <v>22</v>
      </c>
      <c r="C21" s="4">
        <v>2.5</v>
      </c>
      <c r="D21" s="4">
        <v>0.7</v>
      </c>
    </row>
    <row r="22" spans="1:4" x14ac:dyDescent="0.25">
      <c r="A22" s="3" t="s">
        <v>31</v>
      </c>
      <c r="B22" s="3">
        <v>23.5</v>
      </c>
      <c r="C22" s="3">
        <v>3</v>
      </c>
      <c r="D22" s="3">
        <v>0.75</v>
      </c>
    </row>
    <row r="23" spans="1:4" x14ac:dyDescent="0.25">
      <c r="A23" s="4" t="s">
        <v>32</v>
      </c>
      <c r="B23" s="4">
        <v>21.8</v>
      </c>
      <c r="C23" s="4">
        <v>2.2000000000000002</v>
      </c>
      <c r="D23" s="4">
        <v>0.65</v>
      </c>
    </row>
    <row r="24" spans="1:4" x14ac:dyDescent="0.25">
      <c r="A24" s="3" t="s">
        <v>33</v>
      </c>
      <c r="B24" s="3">
        <v>24</v>
      </c>
      <c r="C24" s="3">
        <v>3.5</v>
      </c>
      <c r="D24" s="3">
        <v>0.8</v>
      </c>
    </row>
    <row r="25" spans="1:4" x14ac:dyDescent="0.25">
      <c r="A25" s="4" t="s">
        <v>34</v>
      </c>
      <c r="B25" s="4">
        <v>26.5</v>
      </c>
      <c r="C25" s="4">
        <v>4</v>
      </c>
      <c r="D25" s="4">
        <v>0.9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workbookViewId="0">
      <selection activeCell="C2" sqref="C2"/>
    </sheetView>
  </sheetViews>
  <sheetFormatPr baseColWidth="10" defaultColWidth="9.140625" defaultRowHeight="15" x14ac:dyDescent="0.25"/>
  <cols>
    <col min="1" max="7" width="22" customWidth="1"/>
  </cols>
  <sheetData>
    <row r="1" spans="1:7" x14ac:dyDescent="0.25">
      <c r="A1" s="2" t="s">
        <v>6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16</v>
      </c>
    </row>
    <row r="2" spans="1:7" x14ac:dyDescent="0.25">
      <c r="A2" t="str">
        <f>Bancos!A2</f>
        <v>Banco Agrícola</v>
      </c>
      <c r="B2" s="5">
        <f>-PMT(Bancos!B2/100/12,Datos_Usuario!$B$3,Datos_Usuario!$B$2)</f>
        <v>308.77096865371942</v>
      </c>
      <c r="C2">
        <f>Datos_Usuario!$B$2*Bancos!D2/100</f>
        <v>40</v>
      </c>
      <c r="D2" s="5">
        <f t="shared" ref="D2:D25" si="0">B2+C2</f>
        <v>348.77096865371942</v>
      </c>
      <c r="E2" s="5">
        <f>Datos_Usuario!B2*Bancos!C2/100</f>
        <v>200</v>
      </c>
      <c r="F2" s="6">
        <f>($D$2*Datos_Usuario!$B$3)+E2</f>
        <v>12755.7548715339</v>
      </c>
    </row>
    <row r="3" spans="1:7" x14ac:dyDescent="0.25">
      <c r="A3" t="str">
        <f>Bancos!A3</f>
        <v>BAC Credomatic</v>
      </c>
      <c r="B3" s="5">
        <f>-PMT(Bancos!B3/100/12,Datos_Usuario!$B$3,Datos_Usuario!$B$2)</f>
        <v>356.52727526744678</v>
      </c>
      <c r="C3">
        <f>Datos_Usuario!$B$2*Bancos!D3/100</f>
        <v>50</v>
      </c>
      <c r="D3" s="5">
        <f t="shared" si="0"/>
        <v>406.52727526744678</v>
      </c>
      <c r="E3" s="5">
        <f>Datos_Usuario!B2*Bancos!C3/100</f>
        <v>150</v>
      </c>
      <c r="F3" s="6">
        <f>($D$2*Datos_Usuario!$B$3)+E3</f>
        <v>12705.7548715339</v>
      </c>
    </row>
    <row r="4" spans="1:7" x14ac:dyDescent="0.25">
      <c r="A4" t="str">
        <f>Bancos!A4</f>
        <v>Banco Cuscatlán</v>
      </c>
      <c r="B4" s="5">
        <f>-PMT(Bancos!B4/100/12,Datos_Usuario!$B$3,Datos_Usuario!$B$2)</f>
        <v>351.57033036350094</v>
      </c>
      <c r="C4">
        <f>Datos_Usuario!$B$2*Bancos!D4/100</f>
        <v>45</v>
      </c>
      <c r="D4" s="5">
        <f t="shared" si="0"/>
        <v>396.57033036350094</v>
      </c>
      <c r="E4" s="5">
        <f>Datos_Usuario!B2*Bancos!C4/100</f>
        <v>100</v>
      </c>
      <c r="F4" s="6">
        <f>($D$2*Datos_Usuario!$B$3)+E4</f>
        <v>12655.7548715339</v>
      </c>
    </row>
    <row r="5" spans="1:7" x14ac:dyDescent="0.25">
      <c r="A5" t="str">
        <f>Bancos!A5</f>
        <v>Davivienda</v>
      </c>
      <c r="B5" s="5">
        <f>-PMT(Bancos!B5/100/12,Datos_Usuario!$B$3,Datos_Usuario!$B$2)</f>
        <v>354.04382550022973</v>
      </c>
      <c r="C5">
        <f>Datos_Usuario!$B$2*Bancos!D5/100</f>
        <v>50</v>
      </c>
      <c r="D5" s="5">
        <f>B5+C5</f>
        <v>404.04382550022973</v>
      </c>
      <c r="E5" s="5">
        <f>Datos_Usuario!$B$2*Bancos!C5/100</f>
        <v>120</v>
      </c>
      <c r="F5" s="6">
        <f>($D$2*Datos_Usuario!$B$3)+E5</f>
        <v>12675.7548715339</v>
      </c>
    </row>
    <row r="6" spans="1:7" x14ac:dyDescent="0.25">
      <c r="A6" t="str">
        <f>Bancos!A6</f>
        <v>Banco Hipotecario</v>
      </c>
      <c r="B6" s="5">
        <f>-PMT(Bancos!B6/100/12,Datos_Usuario!$B$3,Datos_Usuario!$B$2)</f>
        <v>349.10681021795432</v>
      </c>
      <c r="C6">
        <f>Datos_Usuario!$B$2*Bancos!D6/100</f>
        <v>35</v>
      </c>
      <c r="D6" s="5">
        <f>B6+C6</f>
        <v>384.10681021795432</v>
      </c>
      <c r="E6" s="5">
        <f>Datos_Usuario!$B$2*Bancos!C6/100</f>
        <v>110</v>
      </c>
      <c r="F6" s="6">
        <f>($D$2*Datos_Usuario!$B$3)+E6</f>
        <v>12665.7548715339</v>
      </c>
    </row>
    <row r="7" spans="1:7" x14ac:dyDescent="0.25">
      <c r="A7" t="str">
        <f>Bancos!A7</f>
        <v>Banco Azul</v>
      </c>
      <c r="B7" s="5">
        <f>-PMT(Bancos!B7/100/12,Datos_Usuario!$B$3,Datos_Usuario!$B$2)</f>
        <v>333.09914727809905</v>
      </c>
      <c r="C7">
        <f>Datos_Usuario!$B$2*Bancos!D7/100</f>
        <v>55</v>
      </c>
      <c r="D7" s="5">
        <f t="shared" si="0"/>
        <v>388.09914727809905</v>
      </c>
      <c r="E7" s="5">
        <f>Datos_Usuario!$B$2*Bancos!C7/100</f>
        <v>130</v>
      </c>
      <c r="F7" s="6">
        <f>($D$2*Datos_Usuario!$B$3)+E7</f>
        <v>12685.7548715339</v>
      </c>
    </row>
    <row r="8" spans="1:7" x14ac:dyDescent="0.25">
      <c r="A8" t="str">
        <f>Bancos!A8</f>
        <v>Banco Promerica</v>
      </c>
      <c r="B8" s="5">
        <f>-PMT(Bancos!B8/100/12,Datos_Usuario!$B$3,Datos_Usuario!$B$2)</f>
        <v>360.52144861951484</v>
      </c>
      <c r="C8">
        <f>Datos_Usuario!$B$2*Bancos!D8/100</f>
        <v>55</v>
      </c>
      <c r="D8" s="5">
        <f t="shared" si="0"/>
        <v>415.52144861951484</v>
      </c>
      <c r="E8" s="5">
        <f>Datos_Usuario!$B$2*Bancos!C8/100</f>
        <v>150</v>
      </c>
      <c r="F8" s="6">
        <f>($D$2*Datos_Usuario!$B$3)+E8</f>
        <v>12705.7548715339</v>
      </c>
    </row>
    <row r="9" spans="1:7" x14ac:dyDescent="0.25">
      <c r="A9" t="str">
        <f>Bancos!A9</f>
        <v>Banco G&amp;T Continental</v>
      </c>
      <c r="B9" s="5">
        <f>-PMT(Bancos!B9/100/12,Datos_Usuario!$B$3,Datos_Usuario!$B$2)</f>
        <v>364.03714308119442</v>
      </c>
      <c r="C9">
        <f>Datos_Usuario!$B$2*Bancos!D9/100</f>
        <v>60</v>
      </c>
      <c r="D9" s="5">
        <f t="shared" si="0"/>
        <v>424.03714308119442</v>
      </c>
      <c r="E9" s="5">
        <f>Datos_Usuario!$B$2*Bancos!C9/100</f>
        <v>180</v>
      </c>
      <c r="F9" s="6">
        <f>($D$2*Datos_Usuario!$B$3)+E9</f>
        <v>12735.7548715339</v>
      </c>
    </row>
    <row r="10" spans="1:7" x14ac:dyDescent="0.25">
      <c r="A10" t="str">
        <f>Bancos!A10</f>
        <v>Banco Abank</v>
      </c>
      <c r="B10" s="5">
        <f>-PMT(Bancos!B10/100/12,Datos_Usuario!$B$3,Datos_Usuario!$B$2)</f>
        <v>366.56020023572506</v>
      </c>
      <c r="C10">
        <f>Datos_Usuario!$B$2*Bancos!D10/100</f>
        <v>60</v>
      </c>
      <c r="D10" s="5">
        <f t="shared" si="0"/>
        <v>426.56020023572506</v>
      </c>
      <c r="E10" s="5">
        <f>Datos_Usuario!$B$2*Bancos!C10/100</f>
        <v>200</v>
      </c>
      <c r="F10" s="6">
        <f>($D$2*Datos_Usuario!$B$3)+E10</f>
        <v>12755.7548715339</v>
      </c>
    </row>
    <row r="11" spans="1:7" x14ac:dyDescent="0.25">
      <c r="A11" t="str">
        <f>Bancos!A11</f>
        <v>Banco Atlántida SV</v>
      </c>
      <c r="B11" s="5">
        <f>-PMT(Bancos!B11/100/12,Datos_Usuario!$B$3,Datos_Usuario!$B$2)</f>
        <v>362.52804470908609</v>
      </c>
      <c r="C11">
        <f>Datos_Usuario!$B$2*Bancos!D11/100</f>
        <v>55</v>
      </c>
      <c r="D11" s="5">
        <f t="shared" si="0"/>
        <v>417.52804470908609</v>
      </c>
      <c r="E11" s="5">
        <f>Datos_Usuario!$B$2*Bancos!C11/100</f>
        <v>170</v>
      </c>
      <c r="F11" s="6">
        <f>($D$2*Datos_Usuario!$B$3)+E11</f>
        <v>12725.7548715339</v>
      </c>
    </row>
    <row r="12" spans="1:7" x14ac:dyDescent="0.25">
      <c r="A12" t="str">
        <f>Bancos!A12</f>
        <v>Banco Integral</v>
      </c>
      <c r="B12" s="5">
        <f>-PMT(Bancos!B12/100/12,Datos_Usuario!$B$3,Datos_Usuario!$B$2)</f>
        <v>374.18836428215747</v>
      </c>
      <c r="C12">
        <f>Datos_Usuario!$B$2*Bancos!D12/100</f>
        <v>65</v>
      </c>
      <c r="D12" s="5">
        <f t="shared" si="0"/>
        <v>439.18836428215747</v>
      </c>
      <c r="E12" s="5">
        <f>Datos_Usuario!$B$2*Bancos!C12/100</f>
        <v>250</v>
      </c>
      <c r="F12" s="6">
        <f>($D$2*Datos_Usuario!$B$3)+E12</f>
        <v>12805.7548715339</v>
      </c>
    </row>
    <row r="13" spans="1:7" x14ac:dyDescent="0.25">
      <c r="A13" t="str">
        <f>Bancos!A13</f>
        <v>Banco Multivalores</v>
      </c>
      <c r="B13" s="5">
        <f>-PMT(Bancos!B13/100/12,Datos_Usuario!$B$3,Datos_Usuario!$B$2)</f>
        <v>370.6175645038735</v>
      </c>
      <c r="C13">
        <f>Datos_Usuario!$B$2*Bancos!D13/100</f>
        <v>60</v>
      </c>
      <c r="D13" s="5">
        <f t="shared" si="0"/>
        <v>430.6175645038735</v>
      </c>
      <c r="E13" s="5">
        <f>Datos_Usuario!$B$2*Bancos!C13/100</f>
        <v>220</v>
      </c>
      <c r="F13" s="6">
        <f>($D$2*Datos_Usuario!$B$3)+E13</f>
        <v>12775.7548715339</v>
      </c>
    </row>
    <row r="14" spans="1:7" x14ac:dyDescent="0.25">
      <c r="A14" t="str">
        <f>Bancos!A14</f>
        <v>Financiera Credicomer</v>
      </c>
      <c r="B14" s="5">
        <f>-PMT(Bancos!B14/100/12,Datos_Usuario!$B$3,Datos_Usuario!$B$2)</f>
        <v>376.75067336191768</v>
      </c>
      <c r="C14">
        <f>Datos_Usuario!$B$2*Bancos!D14/100</f>
        <v>70</v>
      </c>
      <c r="D14" s="5">
        <f t="shared" si="0"/>
        <v>446.75067336191768</v>
      </c>
      <c r="E14" s="5">
        <f>Datos_Usuario!$B$2*Bancos!C14/100</f>
        <v>250</v>
      </c>
      <c r="F14" s="6">
        <f>($D$2*Datos_Usuario!$B$3)+E14</f>
        <v>12805.7548715339</v>
      </c>
    </row>
    <row r="15" spans="1:7" x14ac:dyDescent="0.25">
      <c r="A15" t="str">
        <f>Bancos!A15</f>
        <v>Financiera Fiducia</v>
      </c>
      <c r="B15" s="5">
        <f>-PMT(Bancos!B15/100/12,Datos_Usuario!$B$3,Datos_Usuario!$B$2)</f>
        <v>384.49603279487002</v>
      </c>
      <c r="C15">
        <f>Datos_Usuario!$B$2*Bancos!D15/100</f>
        <v>75</v>
      </c>
      <c r="D15" s="5">
        <f t="shared" si="0"/>
        <v>459.49603279487002</v>
      </c>
      <c r="E15" s="5">
        <f>Datos_Usuario!$B$2*Bancos!C15/100</f>
        <v>300</v>
      </c>
      <c r="F15" s="6">
        <f>($D$2*Datos_Usuario!$B$3)+E15</f>
        <v>12855.7548715339</v>
      </c>
    </row>
    <row r="16" spans="1:7" x14ac:dyDescent="0.25">
      <c r="A16" t="str">
        <f>Bancos!A16</f>
        <v>FEDECACES</v>
      </c>
      <c r="B16" s="5">
        <f>-PMT(Bancos!B16/100/12,Datos_Usuario!$B$3,Datos_Usuario!$B$2)</f>
        <v>364.03714308119442</v>
      </c>
      <c r="C16">
        <f>Datos_Usuario!$B$2*Bancos!D16/100</f>
        <v>30</v>
      </c>
      <c r="D16" s="5">
        <f t="shared" si="0"/>
        <v>394.03714308119442</v>
      </c>
      <c r="E16" s="5">
        <f>Datos_Usuario!$B$2*Bancos!C16/100</f>
        <v>120</v>
      </c>
      <c r="F16" s="6">
        <f>($D$2*Datos_Usuario!$B$3)+E16</f>
        <v>12675.7548715339</v>
      </c>
    </row>
    <row r="17" spans="1:6" x14ac:dyDescent="0.25">
      <c r="A17" t="str">
        <f>Bancos!A17</f>
        <v>CACEP</v>
      </c>
      <c r="B17" s="5">
        <f>-PMT(Bancos!B17/100/12,Datos_Usuario!$B$3,Datos_Usuario!$B$2)</f>
        <v>345.67467796479883</v>
      </c>
      <c r="C17">
        <f>Datos_Usuario!$B$2*Bancos!D17/100</f>
        <v>35</v>
      </c>
      <c r="D17" s="5">
        <f t="shared" si="0"/>
        <v>380.67467796479883</v>
      </c>
      <c r="E17" s="5">
        <f>Datos_Usuario!$B$2*Bancos!C17/100</f>
        <v>120</v>
      </c>
      <c r="F17" s="6">
        <f>($D$2*Datos_Usuario!$B$3)+E17</f>
        <v>12675.7548715339</v>
      </c>
    </row>
    <row r="18" spans="1:6" x14ac:dyDescent="0.25">
      <c r="A18" t="str">
        <f>Bancos!A18</f>
        <v>ACODJAR</v>
      </c>
      <c r="B18" s="5">
        <f>-PMT(Bancos!B18/100/12,Datos_Usuario!$B$3,Datos_Usuario!$B$2)</f>
        <v>347.63349445339361</v>
      </c>
      <c r="C18">
        <f>Datos_Usuario!$B$2*Bancos!D18/100</f>
        <v>40</v>
      </c>
      <c r="D18" s="5">
        <f t="shared" si="0"/>
        <v>387.63349445339361</v>
      </c>
      <c r="E18" s="5">
        <f>Datos_Usuario!$B$2*Bancos!C18/100</f>
        <v>100</v>
      </c>
      <c r="F18" s="6">
        <f>($D$2*Datos_Usuario!$B$3)+E18</f>
        <v>12655.7548715339</v>
      </c>
    </row>
    <row r="19" spans="1:6" x14ac:dyDescent="0.25">
      <c r="A19" t="str">
        <f>Bancos!A19</f>
        <v>COOPAS</v>
      </c>
      <c r="B19" s="5">
        <f>-PMT(Bancos!B19/100/12,Datos_Usuario!$B$3,Datos_Usuario!$B$2)</f>
        <v>351.0768276902628</v>
      </c>
      <c r="C19">
        <f>Datos_Usuario!$B$2*Bancos!D19/100</f>
        <v>45</v>
      </c>
      <c r="D19" s="5">
        <f t="shared" si="0"/>
        <v>396.0768276902628</v>
      </c>
      <c r="E19" s="5">
        <f>Datos_Usuario!$B$2*Bancos!C19/100</f>
        <v>150</v>
      </c>
      <c r="F19" s="6">
        <f>($D$2*Datos_Usuario!$B$3)+E19</f>
        <v>12705.7548715339</v>
      </c>
    </row>
    <row r="20" spans="1:6" x14ac:dyDescent="0.25">
      <c r="A20" t="str">
        <f>Bancos!A20</f>
        <v>CREDESAN</v>
      </c>
      <c r="B20" s="5">
        <f>-PMT(Bancos!B20/100/12,Datos_Usuario!$B$3,Datos_Usuario!$B$2)</f>
        <v>353.05323174115546</v>
      </c>
      <c r="C20">
        <f>Datos_Usuario!$B$2*Bancos!D20/100</f>
        <v>45</v>
      </c>
      <c r="D20" s="5">
        <f t="shared" si="0"/>
        <v>398.05323174115546</v>
      </c>
      <c r="E20" s="5">
        <f>Datos_Usuario!$B$2*Bancos!C20/100</f>
        <v>150</v>
      </c>
      <c r="F20" s="6">
        <f>($D$2*Datos_Usuario!$B$3)+E20</f>
        <v>12705.7548715339</v>
      </c>
    </row>
    <row r="21" spans="1:6" x14ac:dyDescent="0.25">
      <c r="A21" t="str">
        <f>Bancos!A21</f>
        <v>Caja de Crédito Zacatecoluca</v>
      </c>
      <c r="B21" s="5">
        <f>-PMT(Bancos!B21/100/12,Datos_Usuario!$B$3,Datos_Usuario!$B$2)</f>
        <v>381.90453178109493</v>
      </c>
      <c r="C21">
        <f>Datos_Usuario!$B$2*Bancos!D21/100</f>
        <v>70</v>
      </c>
      <c r="D21" s="5">
        <f t="shared" si="0"/>
        <v>451.90453178109493</v>
      </c>
      <c r="E21" s="5">
        <f>Datos_Usuario!$B$2*Bancos!C21/100</f>
        <v>250</v>
      </c>
      <c r="F21" s="6">
        <f>($D$2*Datos_Usuario!$B$3)+E21</f>
        <v>12805.7548715339</v>
      </c>
    </row>
    <row r="22" spans="1:6" x14ac:dyDescent="0.25">
      <c r="A22" t="str">
        <f>Bancos!A22</f>
        <v>Caja de Crédito San Miguel</v>
      </c>
      <c r="B22" s="5">
        <f>-PMT(Bancos!B22/100/12,Datos_Usuario!$B$3,Datos_Usuario!$B$2)</f>
        <v>389.70805506767505</v>
      </c>
      <c r="C22">
        <f>Datos_Usuario!$B$2*Bancos!D22/100</f>
        <v>75</v>
      </c>
      <c r="D22" s="5">
        <f t="shared" si="0"/>
        <v>464.70805506767505</v>
      </c>
      <c r="E22" s="5">
        <f>Datos_Usuario!$B$2*Bancos!C22/100</f>
        <v>300</v>
      </c>
      <c r="F22" s="6">
        <f>($D$2*Datos_Usuario!$B$3)+E22</f>
        <v>12855.7548715339</v>
      </c>
    </row>
    <row r="23" spans="1:6" x14ac:dyDescent="0.25">
      <c r="A23" t="str">
        <f>Bancos!A23</f>
        <v>Caja de Crédito Metapán</v>
      </c>
      <c r="B23" s="5">
        <f>-PMT(Bancos!B23/100/12,Datos_Usuario!$B$3,Datos_Usuario!$B$2)</f>
        <v>380.87064780414323</v>
      </c>
      <c r="C23">
        <f>Datos_Usuario!$B$2*Bancos!D23/100</f>
        <v>65</v>
      </c>
      <c r="D23" s="5">
        <f t="shared" si="0"/>
        <v>445.87064780414323</v>
      </c>
      <c r="E23" s="5">
        <f>Datos_Usuario!$B$2*Bancos!C23/100</f>
        <v>220</v>
      </c>
      <c r="F23" s="6">
        <f>($D$2*Datos_Usuario!$B$3)+E23</f>
        <v>12775.7548715339</v>
      </c>
    </row>
    <row r="24" spans="1:6" x14ac:dyDescent="0.25">
      <c r="A24" t="str">
        <f>Bancos!A24</f>
        <v>AMC</v>
      </c>
      <c r="B24" s="5">
        <f>-PMT(Bancos!B24/100/12,Datos_Usuario!$B$3,Datos_Usuario!$B$2)</f>
        <v>392.32852597798149</v>
      </c>
      <c r="C24">
        <f>Datos_Usuario!$B$2*Bancos!D24/100</f>
        <v>80</v>
      </c>
      <c r="D24" s="5">
        <f t="shared" si="0"/>
        <v>472.32852597798149</v>
      </c>
      <c r="E24" s="5">
        <f>Datos_Usuario!$B$2*Bancos!C24/100</f>
        <v>350</v>
      </c>
      <c r="F24" s="6">
        <f>($D$2*Datos_Usuario!$B$3)+E24</f>
        <v>12905.7548715339</v>
      </c>
    </row>
    <row r="25" spans="1:6" x14ac:dyDescent="0.25">
      <c r="A25" t="str">
        <f>Bancos!A25</f>
        <v>FUNDAMICRO</v>
      </c>
      <c r="B25" s="5">
        <f>-PMT(Bancos!B25/100/12,Datos_Usuario!$B$3,Datos_Usuario!$B$2)</f>
        <v>405.57444196246786</v>
      </c>
      <c r="C25">
        <f>Datos_Usuario!$B$2*Bancos!D25/100</f>
        <v>90</v>
      </c>
      <c r="D25" s="5">
        <f t="shared" si="0"/>
        <v>495.57444196246786</v>
      </c>
      <c r="E25" s="5">
        <f>Datos_Usuario!$B$2*Bancos!C25/100</f>
        <v>400</v>
      </c>
      <c r="F25" s="6">
        <f>($D$2*Datos_Usuario!$B$3)+E25</f>
        <v>12955.7548715339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Datos_Usuario</vt:lpstr>
      <vt:lpstr>Bancos</vt:lpstr>
      <vt:lpstr>Simulación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Marvin Rodriguez Nerio</cp:lastModifiedBy>
  <cp:revision/>
  <dcterms:created xsi:type="dcterms:W3CDTF">2026-04-29T03:56:52Z</dcterms:created>
  <dcterms:modified xsi:type="dcterms:W3CDTF">2026-04-29T07:29:45Z</dcterms:modified>
  <cp:category/>
  <cp:contentStatus/>
</cp:coreProperties>
</file>